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https://kansas-my.sharepoint.com/personal/c603t230_home_ku_edu/Documents/"/>
    </mc:Choice>
  </mc:AlternateContent>
  <xr:revisionPtr revIDLastSave="0" documentId="8_{75600535-357A-8045-8F09-4910B24DEB48}" xr6:coauthVersionLast="47" xr6:coauthVersionMax="47" xr10:uidLastSave="{00000000-0000-0000-0000-000000000000}"/>
  <bookViews>
    <workbookView xWindow="0" yWindow="500" windowWidth="28800" windowHeight="15720" firstSheet="1" activeTab="1" xr2:uid="{3114261F-E3D0-496D-89B9-05D096F1C2E1}"/>
  </bookViews>
  <sheets>
    <sheet name="Reference Stories" sheetId="1" r:id="rId1"/>
    <sheet name="Project 3 Task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2" l="1"/>
  <c r="I6" i="2"/>
  <c r="M6" i="2"/>
  <c r="L6" i="2"/>
  <c r="J6" i="2"/>
  <c r="H6" i="2"/>
</calcChain>
</file>

<file path=xl/sharedStrings.xml><?xml version="1.0" encoding="utf-8"?>
<sst xmlns="http://schemas.openxmlformats.org/spreadsheetml/2006/main" count="174" uniqueCount="110">
  <si>
    <t>Reference Story No.</t>
  </si>
  <si>
    <t>Pool (1, 2, 3, 5, 8, 13)</t>
  </si>
  <si>
    <t>Story Source</t>
  </si>
  <si>
    <t>Story Summary (25-50 words)</t>
  </si>
  <si>
    <t>Internship</t>
  </si>
  <si>
    <t xml:space="preserve">Internship Assignment - identify a badge on a visual webpage and find that badge in the code and then change the color of it from green to red. </t>
  </si>
  <si>
    <t>Internship - compiled different school's research websites and rank on easiest to use and have students note their favorite features to make templates for KU staff</t>
  </si>
  <si>
    <t>Internship - created templates for staff to fill out to create personal research websites to showcase new research to recruit new grad students into projects for KU mechanical department</t>
  </si>
  <si>
    <t>Changed the configuration of an aircraft to use a different bit to power a discrete output on ARINC a429, for both SDIs 01 and 10.</t>
  </si>
  <si>
    <t xml:space="preserve">EECS 658 </t>
  </si>
  <si>
    <t xml:space="preserve">EECS 658 Assignment 1 - Write a python program that prints the version of python, scipy, numpy, pandas, and sklearn. Write a second python program that uses 2 fold cross-validation to product a test set of 150 samples of the iris data set with the Naïve Baysian ML model. </t>
  </si>
  <si>
    <t xml:space="preserve">EECS 658 Programming assignment 4 - use the genetic algorithm to select the best set of features from the 4 original features </t>
  </si>
  <si>
    <t>EECS 468</t>
  </si>
  <si>
    <t xml:space="preserve">EECS 468 assignments on Haskell: Write programs using the Haskell languages to calculate arithmetic operations, replicate a basic game program and understand the lazy format required for Haskell to read it. The program should be able to print out the appropriate input and response coded in the file. </t>
  </si>
  <si>
    <t>Extra Curricular</t>
  </si>
  <si>
    <t xml:space="preserve">Extra Curricular Code - Create a excel macro in Visual Basic that allows for the input of volunteer groups names and their amount and jobsite numbers and how many volunteers they need. Allow for the ability to directly match groups and then split large groups up into smaller groups. </t>
  </si>
  <si>
    <t>personal/external</t>
  </si>
  <si>
    <t>Built a small movie-recommendation demo using a Netflix-style dataset. Cleaned data, calculated cosine similarities, and generated top-5 personalized movie lists. Verified accuracy by comparing outputs with sample preferences.</t>
  </si>
  <si>
    <t>EECS 268</t>
  </si>
  <si>
    <t xml:space="preserve">EECS 268 - Create a queue class that has all the standard functionality of a queue. Then implement this queue to create a queue based cpu scheduler that follows specific rules. </t>
  </si>
  <si>
    <t>Personal project inspired by EECS 348/468: Write an HTML code-based website that applied the skills learned from class and deploy using GitHub webpages (similar to people.eecs server). The website should be interactive and functional and user will be able to see the site without error.</t>
  </si>
  <si>
    <t xml:space="preserve">Internship Assignment - Design and implement the UX for a search page this included ability to navigate between 3 other pages and then have the ability to take you to a unique page depending on the search results. </t>
  </si>
  <si>
    <t>EECS 510</t>
  </si>
  <si>
    <t xml:space="preserve">EECS 510 final project: create a real-life scenario using a non-trivial language involving online shopping. The program will involve an enter, add, delete and checkout mechanisms. User will enter a string and program will determine if it is acceptable or invalid. </t>
  </si>
  <si>
    <t>Research project</t>
  </si>
  <si>
    <t xml:space="preserve">Create Reinforcement Learning based agent for f1tenth racing using created NVIDIA omniverse digital twin simulator. The RL agent was rewarded for time spent alive, it's speed, and reaching checkpoints around difficult turns. </t>
  </si>
  <si>
    <t>EECS 658 Assignment 2 - Write a python program that compares multiple different machine learning models. The program uses 2 fold cross validation to compare linear regression, polynomial degree 2 and 3 regression, Naïve Baysian, kNN, LDA, and QDA models. For each model, the program should also display the confusion matrix and accuracy metric</t>
  </si>
  <si>
    <t>f1tenth</t>
  </si>
  <si>
    <t>Created a pytorch implementation of Tiny Lidar Net that closely matches the same results before any quantization or model pruning with the same features of the tensorflow version.</t>
  </si>
  <si>
    <t>Coursea Machine learning regression</t>
  </si>
  <si>
    <t>Trained a regression model to predict house prices using the Ames dataset. Applied feature scaling, one-hot encoding, and outlier removal. Tuned hyperparameters with cross-validation and visualized top predictive features.</t>
  </si>
  <si>
    <t>HackKU 2025 project</t>
  </si>
  <si>
    <t>Hack KU 2025 Project - Write a python game that incorporates chess with blackjack. The user will play chess against a moderate AI and everytime the user or AI tries to take the opponents piece, they have to win a game of blackjack first. The user can earn money in the blackjack games and use the money to purchase power ups during the game to improve luck when playing blackjack</t>
  </si>
  <si>
    <t>EECS 678 (fall)</t>
  </si>
  <si>
    <t>EECS 678 (Fall 2024) quash projects: Created the program with C language and the UNIX system calls. The user will be able to test  basic commands similar to Linux command line such as file directories and replicating files (from scratch)</t>
  </si>
  <si>
    <t>Built a model to predict NFL game winners using team stats, weather, and Vegas odds. Collected weekly data via an API, engineered rolling-average features, and trained Gradient Boosted Trees achieving 70 % accuracy. Visualized confidence levels in a simple dashboard</t>
  </si>
  <si>
    <t>created rust library that handles lidar data from python tensor data and turns into vector points to generate a vector field to better train a ml model to follow the generated flow field</t>
  </si>
  <si>
    <t>Created  Nvidia Isaac Lab environment to train an rl model that could train in parallel thousands of agents at once with skr rl to take lidar data and output speed and steering angle to a rc car.</t>
  </si>
  <si>
    <t>Implement ROS2 based lidar into digital twin simulator using NVIDIA RTX ray tracing. Involved implementing custom docker images, modeling a Hokuyo-10lx physical lidar in the virtual world, and writing scripts to add realistic noise to measurements.</t>
  </si>
  <si>
    <t>Create a digital twin simulator for F1TENTH, an autonomous racing competition.  Involved using RGBD  depth imaging and lidar to scan a room containing a track into the virtual world, cleaning the scan and implementing collision, measuring metrics about the physical car, and accurately modeling control delay mechanics.</t>
  </si>
  <si>
    <t>Developed a model to rate fantasy-football trades using live player stats and injury data. Pulled API data from Sleeper and ESPN, engineered features, and deployed a dashboard that calculates trade fairness scores instantly</t>
  </si>
  <si>
    <t>Requirement ID</t>
  </si>
  <si>
    <t>Description</t>
  </si>
  <si>
    <t>Story Points</t>
  </si>
  <si>
    <t>Priority</t>
  </si>
  <si>
    <t>Sprint No.</t>
  </si>
  <si>
    <t>Dev</t>
  </si>
  <si>
    <t>create database to hold users, card decks, and gym decks.</t>
  </si>
  <si>
    <t>sprint 1</t>
  </si>
  <si>
    <t>Ryland</t>
  </si>
  <si>
    <t xml:space="preserve">create exacutables for ease of connecting to database </t>
  </si>
  <si>
    <t xml:space="preserve">sprint 3 </t>
  </si>
  <si>
    <t xml:space="preserve">Ryland </t>
  </si>
  <si>
    <t>Page to show users inventory cards and users priority deck</t>
  </si>
  <si>
    <t xml:space="preserve">Sprint 3 </t>
  </si>
  <si>
    <t>Riley</t>
  </si>
  <si>
    <t>User can play against CPU</t>
  </si>
  <si>
    <t>Jacob</t>
  </si>
  <si>
    <t xml:space="preserve">Hannah </t>
  </si>
  <si>
    <t xml:space="preserve">Riley </t>
  </si>
  <si>
    <t xml:space="preserve">Jacob </t>
  </si>
  <si>
    <t xml:space="preserve">Colin </t>
  </si>
  <si>
    <t xml:space="preserve">Dustin </t>
  </si>
  <si>
    <t>Create home screen and battle screen - when user is logged in and on the home screen they can start a battle and the battle screen will appear.</t>
  </si>
  <si>
    <t xml:space="preserve">Colin  </t>
  </si>
  <si>
    <t xml:space="preserve">Create Battle screen - a screen where the card game takes place and the user plays against the cpu </t>
  </si>
  <si>
    <t xml:space="preserve">srpint 1 </t>
  </si>
  <si>
    <t>Battles are managed by central system that stores state as it progresses</t>
  </si>
  <si>
    <t>maintain hirearchy: Water extinguishes fire, fire melts ice, ice scorches earth, earth suffocates fire, fire burns air, air traps ice, ice freezes water, water rains on air, air dries earth, earth absorbs water</t>
  </si>
  <si>
    <t>Effects from power cards can be applied in-round, or have lingering effect</t>
  </si>
  <si>
    <t>CPU with scaling difficulty for leveled / boss battles</t>
  </si>
  <si>
    <t>sprint 2</t>
  </si>
  <si>
    <t xml:space="preserve">Save user information about login in a secure way </t>
  </si>
  <si>
    <t xml:space="preserve">Save Gym information for next login </t>
  </si>
  <si>
    <t xml:space="preserve">final sprint </t>
  </si>
  <si>
    <t xml:space="preserve">Users can enter a battle with enemies that will select a deck based on what kind of dodo they are </t>
  </si>
  <si>
    <t>Defeating a gym results in the player's name being displayed, and that gym taking over their deck to use against other players</t>
  </si>
  <si>
    <t>Save information about the user's current deck and allow them to change out what is in their deck compared to what's in their posession</t>
  </si>
  <si>
    <t>Hannah</t>
  </si>
  <si>
    <t>Algorithms to shuffle the players total deck to split into hands</t>
  </si>
  <si>
    <t>The user will open to a page for the user to login to their existing account</t>
  </si>
  <si>
    <t>Dustin</t>
  </si>
  <si>
    <t xml:space="preserve">The user will also be able to create an account if they don't have one </t>
  </si>
  <si>
    <t xml:space="preserve">srpint 2 </t>
  </si>
  <si>
    <t>User can create an account by with just a username and password</t>
  </si>
  <si>
    <t>Dustin, Colin</t>
  </si>
  <si>
    <t>Create system to generate all possible cards</t>
  </si>
  <si>
    <t xml:space="preserve">Create parsing system to apply effects consistently and in order </t>
  </si>
  <si>
    <t>make and connect a database to web server</t>
  </si>
  <si>
    <t xml:space="preserve">Ryland,Riley </t>
  </si>
  <si>
    <t>Create images for the game (characters, effects, …)</t>
  </si>
  <si>
    <t xml:space="preserve">Display  the map so that user can interact with random encounter and also dojos - this will lead to the battle page </t>
  </si>
  <si>
    <t>sprint 3</t>
  </si>
  <si>
    <t xml:space="preserve">Colin, Dustin </t>
  </si>
  <si>
    <t xml:space="preserve">Users can access website at any time via browser </t>
  </si>
  <si>
    <t>Implement  data passing format from server to client, client to server</t>
  </si>
  <si>
    <t xml:space="preserve">Ryland, Hannah </t>
  </si>
  <si>
    <t xml:space="preserve">Create routing system for client to pass to serer and then server to data base </t>
  </si>
  <si>
    <t xml:space="preserve">sprint 2 </t>
  </si>
  <si>
    <t xml:space="preserve">Implement buisness logic that helps format user data to pass between client and server </t>
  </si>
  <si>
    <t xml:space="preserve">Implement buisness logic that helps format gym data to pass between client and server </t>
  </si>
  <si>
    <t xml:space="preserve">Final Sprint </t>
  </si>
  <si>
    <t>Mechanism to pick up cards from random encounters around map to add the the users deck</t>
  </si>
  <si>
    <t>create diagram about each card type and its advantages</t>
  </si>
  <si>
    <t>Display the character information and information about their current deck and cards in their possession</t>
  </si>
  <si>
    <t>Display visual effects on the battle page that indicate current gameplay modifications to the user</t>
  </si>
  <si>
    <t>Implement single-command build cycle for ease of testing</t>
  </si>
  <si>
    <t xml:space="preserve">Riley, Hannah </t>
  </si>
  <si>
    <t>added a delete button to the gameplay homescreen to delete account</t>
  </si>
  <si>
    <t>create random encounter -- these dodos allow you to get cards that were dropped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</si>
</sst>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Calibri"/>
      <family val="2"/>
    </font>
    <font>
      <b/>
      <sz val="11"/>
      <color rgb="FF000000"/>
      <name val="Aptos Narrow"/>
      <scheme val="minor"/>
    </font>
    <font>
      <sz val="11"/>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wrapText="1"/>
    </xf>
    <xf numFmtId="0" fontId="3" fillId="0" borderId="0" xfId="0" applyFont="1"/>
    <xf numFmtId="0" fontId="2" fillId="0" borderId="0" xfId="0" applyFont="1" applyAlignment="1">
      <alignment wrapText="1"/>
    </xf>
    <xf numFmtId="0" fontId="4"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5CAD5-F858-4BC1-9902-44B98103FB35}">
  <dimension ref="A1:D26"/>
  <sheetViews>
    <sheetView topLeftCell="A16" workbookViewId="0">
      <selection activeCell="C18" sqref="C18"/>
    </sheetView>
  </sheetViews>
  <sheetFormatPr baseColWidth="10" defaultColWidth="8.83203125" defaultRowHeight="15" x14ac:dyDescent="0.2"/>
  <cols>
    <col min="1" max="1" width="19" bestFit="1" customWidth="1"/>
    <col min="2" max="2" width="24.33203125" bestFit="1" customWidth="1"/>
    <col min="3" max="3" width="33.5" bestFit="1" customWidth="1"/>
    <col min="4" max="4" width="89.1640625" bestFit="1" customWidth="1"/>
  </cols>
  <sheetData>
    <row r="1" spans="1:4" x14ac:dyDescent="0.2">
      <c r="A1" s="1" t="s">
        <v>0</v>
      </c>
      <c r="B1" s="1" t="s">
        <v>1</v>
      </c>
      <c r="C1" s="1" t="s">
        <v>2</v>
      </c>
      <c r="D1" s="1" t="s">
        <v>3</v>
      </c>
    </row>
    <row r="2" spans="1:4" ht="32" x14ac:dyDescent="0.2">
      <c r="A2">
        <v>1</v>
      </c>
      <c r="B2">
        <v>1</v>
      </c>
      <c r="C2" t="s">
        <v>4</v>
      </c>
      <c r="D2" s="2" t="s">
        <v>5</v>
      </c>
    </row>
    <row r="3" spans="1:4" ht="32" x14ac:dyDescent="0.2">
      <c r="A3">
        <v>2</v>
      </c>
      <c r="B3">
        <v>1</v>
      </c>
      <c r="C3" t="s">
        <v>4</v>
      </c>
      <c r="D3" s="2" t="s">
        <v>6</v>
      </c>
    </row>
    <row r="4" spans="1:4" ht="32" x14ac:dyDescent="0.2">
      <c r="A4">
        <v>3</v>
      </c>
      <c r="B4">
        <v>1</v>
      </c>
      <c r="C4" t="s">
        <v>4</v>
      </c>
      <c r="D4" s="2" t="s">
        <v>7</v>
      </c>
    </row>
    <row r="5" spans="1:4" ht="32" x14ac:dyDescent="0.2">
      <c r="A5">
        <v>4</v>
      </c>
      <c r="B5">
        <v>1</v>
      </c>
      <c r="C5" t="s">
        <v>4</v>
      </c>
      <c r="D5" s="2" t="s">
        <v>8</v>
      </c>
    </row>
    <row r="6" spans="1:4" ht="48" x14ac:dyDescent="0.2">
      <c r="A6">
        <v>5</v>
      </c>
      <c r="B6">
        <v>2</v>
      </c>
      <c r="C6" t="s">
        <v>9</v>
      </c>
      <c r="D6" s="2" t="s">
        <v>10</v>
      </c>
    </row>
    <row r="7" spans="1:4" ht="32" x14ac:dyDescent="0.2">
      <c r="A7">
        <v>6</v>
      </c>
      <c r="B7">
        <v>2</v>
      </c>
      <c r="C7" t="s">
        <v>9</v>
      </c>
      <c r="D7" s="2" t="s">
        <v>11</v>
      </c>
    </row>
    <row r="8" spans="1:4" ht="48" x14ac:dyDescent="0.2">
      <c r="A8">
        <v>7</v>
      </c>
      <c r="B8">
        <v>2</v>
      </c>
      <c r="C8" t="s">
        <v>12</v>
      </c>
      <c r="D8" s="2" t="s">
        <v>13</v>
      </c>
    </row>
    <row r="9" spans="1:4" ht="48" x14ac:dyDescent="0.2">
      <c r="A9">
        <v>8</v>
      </c>
      <c r="B9">
        <v>2</v>
      </c>
      <c r="C9" t="s">
        <v>14</v>
      </c>
      <c r="D9" s="2" t="s">
        <v>15</v>
      </c>
    </row>
    <row r="10" spans="1:4" ht="32" x14ac:dyDescent="0.2">
      <c r="A10">
        <v>9</v>
      </c>
      <c r="B10">
        <v>2</v>
      </c>
      <c r="C10" t="s">
        <v>16</v>
      </c>
      <c r="D10" s="2" t="s">
        <v>17</v>
      </c>
    </row>
    <row r="11" spans="1:4" ht="36.5" customHeight="1" x14ac:dyDescent="0.2">
      <c r="A11">
        <v>10</v>
      </c>
      <c r="B11">
        <v>3</v>
      </c>
      <c r="C11" t="s">
        <v>18</v>
      </c>
      <c r="D11" s="2" t="s">
        <v>19</v>
      </c>
    </row>
    <row r="12" spans="1:4" s="2" customFormat="1" ht="46.25" customHeight="1" x14ac:dyDescent="0.2">
      <c r="A12" s="2">
        <v>11</v>
      </c>
      <c r="B12" s="2">
        <v>3</v>
      </c>
      <c r="C12" s="2" t="s">
        <v>16</v>
      </c>
      <c r="D12" s="2" t="s">
        <v>20</v>
      </c>
    </row>
    <row r="13" spans="1:4" ht="32" x14ac:dyDescent="0.2">
      <c r="A13">
        <v>12</v>
      </c>
      <c r="B13">
        <v>3</v>
      </c>
      <c r="C13" t="s">
        <v>4</v>
      </c>
      <c r="D13" s="2" t="s">
        <v>21</v>
      </c>
    </row>
    <row r="14" spans="1:4" ht="48" x14ac:dyDescent="0.2">
      <c r="A14">
        <v>13</v>
      </c>
      <c r="B14">
        <v>3</v>
      </c>
      <c r="C14" t="s">
        <v>22</v>
      </c>
      <c r="D14" s="2" t="s">
        <v>23</v>
      </c>
    </row>
    <row r="15" spans="1:4" ht="32" x14ac:dyDescent="0.2">
      <c r="A15">
        <v>14</v>
      </c>
      <c r="B15">
        <v>5</v>
      </c>
      <c r="C15" s="5" t="s">
        <v>24</v>
      </c>
      <c r="D15" s="2" t="s">
        <v>25</v>
      </c>
    </row>
    <row r="16" spans="1:4" ht="69.75" customHeight="1" x14ac:dyDescent="0.2">
      <c r="A16">
        <v>15</v>
      </c>
      <c r="B16">
        <v>5</v>
      </c>
      <c r="C16" t="s">
        <v>9</v>
      </c>
      <c r="D16" s="2" t="s">
        <v>26</v>
      </c>
    </row>
    <row r="17" spans="1:4" ht="32" x14ac:dyDescent="0.2">
      <c r="A17">
        <v>16</v>
      </c>
      <c r="B17">
        <v>5</v>
      </c>
      <c r="C17" t="s">
        <v>27</v>
      </c>
      <c r="D17" s="2" t="s">
        <v>28</v>
      </c>
    </row>
    <row r="18" spans="1:4" ht="59.25" customHeight="1" x14ac:dyDescent="0.2">
      <c r="A18">
        <v>17</v>
      </c>
      <c r="B18">
        <v>5</v>
      </c>
      <c r="C18" t="s">
        <v>29</v>
      </c>
      <c r="D18" s="2" t="s">
        <v>30</v>
      </c>
    </row>
    <row r="19" spans="1:4" ht="67.5" customHeight="1" x14ac:dyDescent="0.2">
      <c r="A19">
        <v>18</v>
      </c>
      <c r="B19">
        <v>8</v>
      </c>
      <c r="C19" s="2" t="s">
        <v>31</v>
      </c>
      <c r="D19" s="2" t="s">
        <v>32</v>
      </c>
    </row>
    <row r="20" spans="1:4" ht="48" x14ac:dyDescent="0.2">
      <c r="A20">
        <v>19</v>
      </c>
      <c r="B20">
        <v>8</v>
      </c>
      <c r="C20" t="s">
        <v>33</v>
      </c>
      <c r="D20" s="2" t="s">
        <v>34</v>
      </c>
    </row>
    <row r="21" spans="1:4" ht="48" x14ac:dyDescent="0.2">
      <c r="A21">
        <v>20</v>
      </c>
      <c r="B21">
        <v>8</v>
      </c>
      <c r="C21" t="s">
        <v>16</v>
      </c>
      <c r="D21" s="2" t="s">
        <v>35</v>
      </c>
    </row>
    <row r="22" spans="1:4" ht="29.25" customHeight="1" x14ac:dyDescent="0.2">
      <c r="A22">
        <v>21</v>
      </c>
      <c r="B22">
        <v>8</v>
      </c>
      <c r="C22" t="s">
        <v>27</v>
      </c>
      <c r="D22" s="2" t="s">
        <v>36</v>
      </c>
    </row>
    <row r="23" spans="1:4" ht="32" x14ac:dyDescent="0.2">
      <c r="A23">
        <v>22</v>
      </c>
      <c r="B23">
        <v>13</v>
      </c>
      <c r="C23" t="s">
        <v>27</v>
      </c>
      <c r="D23" s="2" t="s">
        <v>37</v>
      </c>
    </row>
    <row r="24" spans="1:4" ht="48" x14ac:dyDescent="0.2">
      <c r="A24">
        <v>23</v>
      </c>
      <c r="B24">
        <v>13</v>
      </c>
      <c r="C24" s="5" t="s">
        <v>24</v>
      </c>
      <c r="D24" s="2" t="s">
        <v>38</v>
      </c>
    </row>
    <row r="25" spans="1:4" ht="48" x14ac:dyDescent="0.2">
      <c r="A25">
        <v>24</v>
      </c>
      <c r="B25">
        <v>13</v>
      </c>
      <c r="C25" s="5" t="s">
        <v>24</v>
      </c>
      <c r="D25" s="2" t="s">
        <v>39</v>
      </c>
    </row>
    <row r="26" spans="1:4" ht="32" x14ac:dyDescent="0.2">
      <c r="A26">
        <v>25</v>
      </c>
      <c r="B26">
        <v>13</v>
      </c>
      <c r="C26" t="s">
        <v>16</v>
      </c>
      <c r="D26" s="2" t="s">
        <v>40</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978C-3608-4AB8-BC01-F8ABFDE138F4}">
  <dimension ref="A1:M37"/>
  <sheetViews>
    <sheetView tabSelected="1" zoomScale="62" workbookViewId="0">
      <selection activeCell="K7" sqref="K7"/>
    </sheetView>
  </sheetViews>
  <sheetFormatPr baseColWidth="10" defaultColWidth="8.83203125" defaultRowHeight="15" x14ac:dyDescent="0.2"/>
  <cols>
    <col min="1" max="1" width="15.1640625" customWidth="1"/>
    <col min="2" max="2" width="65.33203125" style="2" bestFit="1" customWidth="1"/>
    <col min="3" max="3" width="11.6640625" bestFit="1" customWidth="1"/>
    <col min="5" max="5" width="10" bestFit="1" customWidth="1"/>
    <col min="6" max="6" width="11.6640625" bestFit="1" customWidth="1"/>
  </cols>
  <sheetData>
    <row r="1" spans="1:13" ht="16" x14ac:dyDescent="0.2">
      <c r="A1" s="1" t="s">
        <v>41</v>
      </c>
      <c r="B1" s="6" t="s">
        <v>42</v>
      </c>
      <c r="C1" s="1" t="s">
        <v>43</v>
      </c>
      <c r="D1" s="1" t="s">
        <v>44</v>
      </c>
      <c r="E1" s="1" t="s">
        <v>45</v>
      </c>
      <c r="F1" s="3" t="s">
        <v>46</v>
      </c>
    </row>
    <row r="2" spans="1:13" ht="16" x14ac:dyDescent="0.2">
      <c r="A2">
        <v>1</v>
      </c>
      <c r="B2" s="2" t="s">
        <v>47</v>
      </c>
      <c r="C2">
        <v>5</v>
      </c>
      <c r="D2">
        <v>1</v>
      </c>
      <c r="E2" t="s">
        <v>48</v>
      </c>
      <c r="F2" t="s">
        <v>49</v>
      </c>
    </row>
    <row r="3" spans="1:13" ht="16" x14ac:dyDescent="0.2">
      <c r="A3">
        <v>2</v>
      </c>
      <c r="B3" s="2" t="s">
        <v>50</v>
      </c>
      <c r="C3">
        <v>5</v>
      </c>
      <c r="D3">
        <v>2</v>
      </c>
      <c r="E3" t="s">
        <v>51</v>
      </c>
      <c r="F3" t="s">
        <v>52</v>
      </c>
    </row>
    <row r="4" spans="1:13" ht="16" x14ac:dyDescent="0.2">
      <c r="A4">
        <v>2</v>
      </c>
      <c r="B4" s="2" t="s">
        <v>53</v>
      </c>
      <c r="C4">
        <v>5</v>
      </c>
      <c r="D4">
        <v>1</v>
      </c>
      <c r="E4" t="s">
        <v>54</v>
      </c>
      <c r="F4" t="s">
        <v>55</v>
      </c>
    </row>
    <row r="5" spans="1:13" ht="16" x14ac:dyDescent="0.2">
      <c r="A5">
        <v>3</v>
      </c>
      <c r="B5" s="2" t="s">
        <v>56</v>
      </c>
      <c r="C5">
        <v>5</v>
      </c>
      <c r="D5">
        <v>1</v>
      </c>
      <c r="E5" t="s">
        <v>48</v>
      </c>
      <c r="F5" t="s">
        <v>57</v>
      </c>
      <c r="H5" t="s">
        <v>58</v>
      </c>
      <c r="I5" t="s">
        <v>59</v>
      </c>
      <c r="J5" t="s">
        <v>60</v>
      </c>
      <c r="K5" t="s">
        <v>61</v>
      </c>
      <c r="L5" t="s">
        <v>62</v>
      </c>
      <c r="M5" t="s">
        <v>52</v>
      </c>
    </row>
    <row r="6" spans="1:13" ht="32" x14ac:dyDescent="0.2">
      <c r="A6">
        <v>4</v>
      </c>
      <c r="B6" s="2" t="s">
        <v>63</v>
      </c>
      <c r="C6">
        <v>5</v>
      </c>
      <c r="D6">
        <v>1</v>
      </c>
      <c r="E6" t="s">
        <v>48</v>
      </c>
      <c r="F6" t="s">
        <v>64</v>
      </c>
      <c r="H6">
        <f>C12+C13+C16+C27+C28+C29+C30+C35</f>
        <v>24</v>
      </c>
      <c r="I6">
        <f>C4+C8+C9+C10+C21+C22+C33+C34+C35+C11+C26+C23</f>
        <v>31</v>
      </c>
      <c r="J6">
        <f>C5+C14+C15+C17+C31</f>
        <v>15</v>
      </c>
      <c r="K6">
        <f>C6+C7+C20+C25</f>
        <v>16</v>
      </c>
      <c r="L6">
        <f>C18+C19+C20+C25+C32+C36+C37</f>
        <v>15</v>
      </c>
      <c r="M6">
        <f>C2+C3+C23+C27+C28</f>
        <v>17</v>
      </c>
    </row>
    <row r="7" spans="1:13" ht="32" x14ac:dyDescent="0.2">
      <c r="B7" s="2" t="s">
        <v>65</v>
      </c>
      <c r="C7">
        <v>5</v>
      </c>
      <c r="D7">
        <v>1</v>
      </c>
      <c r="E7" t="s">
        <v>66</v>
      </c>
      <c r="F7" t="s">
        <v>64</v>
      </c>
    </row>
    <row r="8" spans="1:13" ht="16" x14ac:dyDescent="0.2">
      <c r="A8">
        <v>5</v>
      </c>
      <c r="B8" s="2" t="s">
        <v>67</v>
      </c>
      <c r="C8">
        <v>5</v>
      </c>
      <c r="D8">
        <v>1</v>
      </c>
      <c r="E8" t="s">
        <v>48</v>
      </c>
      <c r="F8" t="s">
        <v>55</v>
      </c>
    </row>
    <row r="9" spans="1:13" ht="48" x14ac:dyDescent="0.2">
      <c r="A9">
        <v>6</v>
      </c>
      <c r="B9" s="4" t="s">
        <v>68</v>
      </c>
      <c r="C9">
        <v>3</v>
      </c>
      <c r="D9">
        <v>1</v>
      </c>
      <c r="E9" t="s">
        <v>48</v>
      </c>
      <c r="F9" t="s">
        <v>55</v>
      </c>
    </row>
    <row r="10" spans="1:13" ht="16" x14ac:dyDescent="0.2">
      <c r="A10">
        <v>7</v>
      </c>
      <c r="B10" s="2" t="s">
        <v>69</v>
      </c>
      <c r="C10">
        <v>3</v>
      </c>
      <c r="D10">
        <v>1</v>
      </c>
      <c r="E10" t="s">
        <v>48</v>
      </c>
      <c r="F10" t="s">
        <v>55</v>
      </c>
    </row>
    <row r="11" spans="1:13" ht="16" x14ac:dyDescent="0.2">
      <c r="A11">
        <v>8</v>
      </c>
      <c r="B11" s="2" t="s">
        <v>70</v>
      </c>
      <c r="C11">
        <v>3</v>
      </c>
      <c r="D11">
        <v>1</v>
      </c>
      <c r="E11" t="s">
        <v>71</v>
      </c>
      <c r="F11" t="s">
        <v>55</v>
      </c>
    </row>
    <row r="12" spans="1:13" ht="16" x14ac:dyDescent="0.2">
      <c r="A12">
        <v>9</v>
      </c>
      <c r="B12" s="2" t="s">
        <v>72</v>
      </c>
      <c r="C12">
        <v>3</v>
      </c>
      <c r="D12">
        <v>1</v>
      </c>
      <c r="E12" t="s">
        <v>48</v>
      </c>
      <c r="F12" t="s">
        <v>58</v>
      </c>
    </row>
    <row r="13" spans="1:13" ht="16" x14ac:dyDescent="0.2">
      <c r="B13" s="2" t="s">
        <v>73</v>
      </c>
      <c r="C13">
        <v>3</v>
      </c>
      <c r="D13">
        <v>3</v>
      </c>
      <c r="E13" t="s">
        <v>74</v>
      </c>
      <c r="F13" t="s">
        <v>58</v>
      </c>
    </row>
    <row r="14" spans="1:13" ht="32" x14ac:dyDescent="0.2">
      <c r="A14">
        <v>10</v>
      </c>
      <c r="B14" s="2" t="s">
        <v>75</v>
      </c>
      <c r="C14">
        <v>3</v>
      </c>
      <c r="D14">
        <v>1</v>
      </c>
      <c r="E14" t="s">
        <v>54</v>
      </c>
      <c r="F14" t="s">
        <v>57</v>
      </c>
    </row>
    <row r="15" spans="1:13" ht="32" x14ac:dyDescent="0.2">
      <c r="A15">
        <v>11</v>
      </c>
      <c r="B15" s="2" t="s">
        <v>76</v>
      </c>
      <c r="C15">
        <v>3</v>
      </c>
      <c r="D15">
        <v>1</v>
      </c>
      <c r="E15" t="s">
        <v>54</v>
      </c>
      <c r="F15" t="s">
        <v>57</v>
      </c>
    </row>
    <row r="16" spans="1:13" ht="32" x14ac:dyDescent="0.2">
      <c r="A16">
        <v>12</v>
      </c>
      <c r="B16" s="2" t="s">
        <v>77</v>
      </c>
      <c r="C16">
        <v>5</v>
      </c>
      <c r="D16">
        <v>1</v>
      </c>
      <c r="E16" t="s">
        <v>54</v>
      </c>
      <c r="F16" t="s">
        <v>78</v>
      </c>
    </row>
    <row r="17" spans="1:6" ht="16" x14ac:dyDescent="0.2">
      <c r="A17">
        <v>13</v>
      </c>
      <c r="B17" s="2" t="s">
        <v>79</v>
      </c>
      <c r="C17">
        <v>1</v>
      </c>
      <c r="D17">
        <v>1</v>
      </c>
      <c r="E17" t="s">
        <v>71</v>
      </c>
      <c r="F17" t="s">
        <v>57</v>
      </c>
    </row>
    <row r="18" spans="1:6" ht="16" x14ac:dyDescent="0.2">
      <c r="A18">
        <v>14</v>
      </c>
      <c r="B18" s="2" t="s">
        <v>80</v>
      </c>
      <c r="C18">
        <v>3</v>
      </c>
      <c r="D18">
        <v>2</v>
      </c>
      <c r="E18" t="s">
        <v>48</v>
      </c>
      <c r="F18" t="s">
        <v>81</v>
      </c>
    </row>
    <row r="19" spans="1:6" ht="16" x14ac:dyDescent="0.2">
      <c r="B19" s="2" t="s">
        <v>82</v>
      </c>
      <c r="C19">
        <v>3</v>
      </c>
      <c r="D19">
        <v>2</v>
      </c>
      <c r="E19" t="s">
        <v>83</v>
      </c>
      <c r="F19" t="s">
        <v>81</v>
      </c>
    </row>
    <row r="20" spans="1:6" ht="16" x14ac:dyDescent="0.2">
      <c r="A20">
        <v>15</v>
      </c>
      <c r="B20" s="2" t="s">
        <v>84</v>
      </c>
      <c r="C20">
        <v>3</v>
      </c>
      <c r="D20">
        <v>2</v>
      </c>
      <c r="E20" t="s">
        <v>48</v>
      </c>
      <c r="F20" t="s">
        <v>85</v>
      </c>
    </row>
    <row r="21" spans="1:6" ht="16" x14ac:dyDescent="0.2">
      <c r="A21">
        <v>16</v>
      </c>
      <c r="B21" s="2" t="s">
        <v>86</v>
      </c>
      <c r="C21">
        <v>1</v>
      </c>
      <c r="D21">
        <v>2</v>
      </c>
      <c r="E21" t="s">
        <v>48</v>
      </c>
      <c r="F21" t="s">
        <v>55</v>
      </c>
    </row>
    <row r="22" spans="1:6" ht="16" x14ac:dyDescent="0.2">
      <c r="A22">
        <v>17</v>
      </c>
      <c r="B22" s="2" t="s">
        <v>87</v>
      </c>
      <c r="C22">
        <v>1</v>
      </c>
      <c r="D22">
        <v>2</v>
      </c>
      <c r="E22" t="s">
        <v>71</v>
      </c>
      <c r="F22" t="s">
        <v>55</v>
      </c>
    </row>
    <row r="23" spans="1:6" ht="16" x14ac:dyDescent="0.2">
      <c r="A23">
        <v>18</v>
      </c>
      <c r="B23" s="2" t="s">
        <v>88</v>
      </c>
      <c r="C23">
        <v>3</v>
      </c>
      <c r="D23">
        <v>2</v>
      </c>
      <c r="E23" t="s">
        <v>48</v>
      </c>
      <c r="F23" t="s">
        <v>89</v>
      </c>
    </row>
    <row r="24" spans="1:6" ht="16" x14ac:dyDescent="0.2">
      <c r="A24">
        <v>19</v>
      </c>
      <c r="B24" s="2" t="s">
        <v>90</v>
      </c>
      <c r="C24">
        <v>3</v>
      </c>
      <c r="D24">
        <v>2</v>
      </c>
      <c r="E24" t="s">
        <v>54</v>
      </c>
      <c r="F24" t="s">
        <v>55</v>
      </c>
    </row>
    <row r="25" spans="1:6" ht="32" x14ac:dyDescent="0.2">
      <c r="A25">
        <v>20</v>
      </c>
      <c r="B25" s="2" t="s">
        <v>91</v>
      </c>
      <c r="C25">
        <v>3</v>
      </c>
      <c r="D25">
        <v>2</v>
      </c>
      <c r="E25" t="s">
        <v>92</v>
      </c>
      <c r="F25" t="s">
        <v>93</v>
      </c>
    </row>
    <row r="26" spans="1:6" ht="16" x14ac:dyDescent="0.2">
      <c r="A26">
        <v>21</v>
      </c>
      <c r="B26" s="2" t="s">
        <v>94</v>
      </c>
      <c r="E26" t="s">
        <v>92</v>
      </c>
      <c r="F26" t="s">
        <v>55</v>
      </c>
    </row>
    <row r="27" spans="1:6" ht="16" x14ac:dyDescent="0.2">
      <c r="A27">
        <v>22</v>
      </c>
      <c r="B27" s="2" t="s">
        <v>95</v>
      </c>
      <c r="C27">
        <v>3</v>
      </c>
      <c r="D27">
        <v>2</v>
      </c>
      <c r="E27" t="s">
        <v>71</v>
      </c>
      <c r="F27" t="s">
        <v>96</v>
      </c>
    </row>
    <row r="28" spans="1:6" ht="16" x14ac:dyDescent="0.2">
      <c r="B28" s="2" t="s">
        <v>97</v>
      </c>
      <c r="C28">
        <v>1</v>
      </c>
      <c r="D28">
        <v>2</v>
      </c>
      <c r="E28" t="s">
        <v>98</v>
      </c>
      <c r="F28" t="s">
        <v>96</v>
      </c>
    </row>
    <row r="29" spans="1:6" ht="32" x14ac:dyDescent="0.2">
      <c r="B29" s="2" t="s">
        <v>99</v>
      </c>
      <c r="C29">
        <v>5</v>
      </c>
      <c r="D29">
        <v>1</v>
      </c>
      <c r="E29" t="s">
        <v>48</v>
      </c>
      <c r="F29" t="s">
        <v>58</v>
      </c>
    </row>
    <row r="30" spans="1:6" ht="32" x14ac:dyDescent="0.2">
      <c r="B30" s="2" t="s">
        <v>100</v>
      </c>
      <c r="C30">
        <v>3</v>
      </c>
      <c r="D30">
        <v>3</v>
      </c>
      <c r="E30" t="s">
        <v>101</v>
      </c>
      <c r="F30" t="s">
        <v>58</v>
      </c>
    </row>
    <row r="31" spans="1:6" ht="32" x14ac:dyDescent="0.2">
      <c r="A31">
        <v>23</v>
      </c>
      <c r="B31" s="2" t="s">
        <v>102</v>
      </c>
      <c r="C31">
        <v>3</v>
      </c>
      <c r="D31">
        <v>2</v>
      </c>
      <c r="E31" t="s">
        <v>101</v>
      </c>
      <c r="F31" t="s">
        <v>57</v>
      </c>
    </row>
    <row r="32" spans="1:6" ht="16" x14ac:dyDescent="0.2">
      <c r="A32">
        <v>24</v>
      </c>
      <c r="B32" s="2" t="s">
        <v>103</v>
      </c>
      <c r="C32">
        <v>1</v>
      </c>
      <c r="D32">
        <v>2</v>
      </c>
      <c r="E32" t="s">
        <v>71</v>
      </c>
      <c r="F32" t="s">
        <v>81</v>
      </c>
    </row>
    <row r="33" spans="1:6" ht="32" x14ac:dyDescent="0.2">
      <c r="A33">
        <v>25</v>
      </c>
      <c r="B33" s="2" t="s">
        <v>104</v>
      </c>
      <c r="C33">
        <v>3</v>
      </c>
      <c r="D33">
        <v>3</v>
      </c>
      <c r="E33" t="s">
        <v>71</v>
      </c>
      <c r="F33" t="s">
        <v>55</v>
      </c>
    </row>
    <row r="34" spans="1:6" ht="32" x14ac:dyDescent="0.2">
      <c r="A34">
        <v>27</v>
      </c>
      <c r="B34" s="2" t="s">
        <v>105</v>
      </c>
      <c r="C34">
        <v>3</v>
      </c>
      <c r="D34">
        <v>3</v>
      </c>
      <c r="E34" t="s">
        <v>71</v>
      </c>
      <c r="F34" t="s">
        <v>55</v>
      </c>
    </row>
    <row r="35" spans="1:6" ht="16" x14ac:dyDescent="0.2">
      <c r="A35">
        <v>28</v>
      </c>
      <c r="B35" s="2" t="s">
        <v>106</v>
      </c>
      <c r="C35">
        <v>1</v>
      </c>
      <c r="D35">
        <v>1</v>
      </c>
      <c r="E35" t="s">
        <v>71</v>
      </c>
      <c r="F35" t="s">
        <v>107</v>
      </c>
    </row>
    <row r="36" spans="1:6" ht="16" x14ac:dyDescent="0.2">
      <c r="A36">
        <v>29</v>
      </c>
      <c r="B36" s="2" t="s">
        <v>108</v>
      </c>
      <c r="C36">
        <v>1</v>
      </c>
      <c r="D36">
        <v>3</v>
      </c>
      <c r="E36" t="s">
        <v>71</v>
      </c>
      <c r="F36" t="s">
        <v>81</v>
      </c>
    </row>
    <row r="37" spans="1:6" ht="16" x14ac:dyDescent="0.2">
      <c r="A37">
        <v>30</v>
      </c>
      <c r="B37" s="2" t="s">
        <v>109</v>
      </c>
      <c r="C37">
        <v>1</v>
      </c>
      <c r="D37">
        <v>3</v>
      </c>
      <c r="E37" t="s">
        <v>92</v>
      </c>
      <c r="F37" t="s">
        <v>81</v>
      </c>
    </row>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0df4e60-c7e0-48c4-9d2f-0b08e3213e7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1B8813014CEF74A824AED4C1EF3D27C" ma:contentTypeVersion="14" ma:contentTypeDescription="Create a new document." ma:contentTypeScope="" ma:versionID="4d0e14f4103f77cc2518c3fb10ac2ede">
  <xsd:schema xmlns:xsd="http://www.w3.org/2001/XMLSchema" xmlns:xs="http://www.w3.org/2001/XMLSchema" xmlns:p="http://schemas.microsoft.com/office/2006/metadata/properties" xmlns:ns3="90df4e60-c7e0-48c4-9d2f-0b08e3213e73" xmlns:ns4="29236149-13bb-43d3-8a26-87399c13efb2" targetNamespace="http://schemas.microsoft.com/office/2006/metadata/properties" ma:root="true" ma:fieldsID="a3116c14347fb8cb0956198800d72bca" ns3:_="" ns4:_="">
    <xsd:import namespace="90df4e60-c7e0-48c4-9d2f-0b08e3213e73"/>
    <xsd:import namespace="29236149-13bb-43d3-8a26-87399c13efb2"/>
    <xsd:element name="properties">
      <xsd:complexType>
        <xsd:sequence>
          <xsd:element name="documentManagement">
            <xsd:complexType>
              <xsd:all>
                <xsd:element ref="ns3:MediaServiceMetadata" minOccurs="0"/>
                <xsd:element ref="ns3:MediaServiceFastMetadata" minOccurs="0"/>
                <xsd:element ref="ns3:_activity" minOccurs="0"/>
                <xsd:element ref="ns3:MediaServiceObjectDetectorVersions" minOccurs="0"/>
                <xsd:element ref="ns4:SharedWithUsers" minOccurs="0"/>
                <xsd:element ref="ns4:SharedWithDetails" minOccurs="0"/>
                <xsd:element ref="ns4:SharingHintHash" minOccurs="0"/>
                <xsd:element ref="ns3:MediaServiceSystemTag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df4e60-c7e0-48c4-9d2f-0b08e3213e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236149-13bb-43d3-8a26-87399c13efb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498016-2968-4386-81CE-86C8D27A70AB}">
  <ds:schemaRefs>
    <ds:schemaRef ds:uri="http://schemas.microsoft.com/sharepoint/v3/contenttype/forms"/>
  </ds:schemaRefs>
</ds:datastoreItem>
</file>

<file path=customXml/itemProps2.xml><?xml version="1.0" encoding="utf-8"?>
<ds:datastoreItem xmlns:ds="http://schemas.openxmlformats.org/officeDocument/2006/customXml" ds:itemID="{06F02AC8-94BB-4B29-9EB3-1C3BE08341BC}">
  <ds:schemaRefs>
    <ds:schemaRef ds:uri="http://schemas.microsoft.com/office/2006/documentManagement/types"/>
    <ds:schemaRef ds:uri="http://purl.org/dc/terms/"/>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29236149-13bb-43d3-8a26-87399c13efb2"/>
    <ds:schemaRef ds:uri="90df4e60-c7e0-48c4-9d2f-0b08e3213e73"/>
    <ds:schemaRef ds:uri="http://www.w3.org/XML/1998/namespace"/>
    <ds:schemaRef ds:uri="http://purl.org/dc/dcmitype/"/>
  </ds:schemaRefs>
</ds:datastoreItem>
</file>

<file path=customXml/itemProps3.xml><?xml version="1.0" encoding="utf-8"?>
<ds:datastoreItem xmlns:ds="http://schemas.openxmlformats.org/officeDocument/2006/customXml" ds:itemID="{59335F4F-5C0E-45FB-90EF-F220153F0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df4e60-c7e0-48c4-9d2f-0b08e3213e73"/>
    <ds:schemaRef ds:uri="29236149-13bb-43d3-8a26-87399c13ef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Reference Stories</vt:lpstr>
      <vt:lpstr>Project 3 Tasks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Treanor, Colin</dc:creator>
  <cp:keywords/>
  <dc:description/>
  <cp:lastModifiedBy>Smith, Hannah R</cp:lastModifiedBy>
  <cp:revision/>
  <dcterms:created xsi:type="dcterms:W3CDTF">2025-10-07T18:08:02Z</dcterms:created>
  <dcterms:modified xsi:type="dcterms:W3CDTF">2025-12-03T17:14:40Z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0x01010091B8813014CEF74A824AED4C1EF3D27C</vt:lpwstr>
  </property>
</Properties>
</file>